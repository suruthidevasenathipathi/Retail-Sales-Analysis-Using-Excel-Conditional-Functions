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1C1F222B-C8B0-408B-AC09-62B2314B4B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_Data" sheetId="1" r:id="rId1"/>
    <sheet name="Column_Guide" sheetId="2" r:id="rId2"/>
    <sheet name="Practice_Task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Q13" i="1"/>
  <c r="Q12" i="1"/>
  <c r="Q11" i="1"/>
  <c r="Q10" i="1"/>
  <c r="Q9" i="1"/>
  <c r="Q8" i="1"/>
  <c r="Q7" i="1"/>
  <c r="N14" i="1"/>
  <c r="N13" i="1"/>
  <c r="N12" i="1"/>
  <c r="N11" i="1"/>
  <c r="N10" i="1"/>
  <c r="N9" i="1"/>
  <c r="N8" i="1"/>
  <c r="N7" i="1"/>
</calcChain>
</file>

<file path=xl/sharedStrings.xml><?xml version="1.0" encoding="utf-8"?>
<sst xmlns="http://schemas.openxmlformats.org/spreadsheetml/2006/main" count="559" uniqueCount="164">
  <si>
    <t>Order_ID</t>
  </si>
  <si>
    <t>Order_Date</t>
  </si>
  <si>
    <t>Product</t>
  </si>
  <si>
    <t>Category</t>
  </si>
  <si>
    <t>Region</t>
  </si>
  <si>
    <t>Sales_Rep</t>
  </si>
  <si>
    <t>Units_Sold</t>
  </si>
  <si>
    <t>Unit_Price</t>
  </si>
  <si>
    <t>Discount_Pct</t>
  </si>
  <si>
    <t>Sales_Amount</t>
  </si>
  <si>
    <t>Cost_Amount</t>
  </si>
  <si>
    <t>Profit</t>
  </si>
  <si>
    <t>ORD053</t>
  </si>
  <si>
    <t>Laptop</t>
  </si>
  <si>
    <t>Electronics</t>
  </si>
  <si>
    <t>West</t>
  </si>
  <si>
    <t>Meena</t>
  </si>
  <si>
    <t>ORD015</t>
  </si>
  <si>
    <t>Headphones</t>
  </si>
  <si>
    <t>Accessories</t>
  </si>
  <si>
    <t>South</t>
  </si>
  <si>
    <t>Divya</t>
  </si>
  <si>
    <t>ORD092</t>
  </si>
  <si>
    <t>Keyboard</t>
  </si>
  <si>
    <t>Arun</t>
  </si>
  <si>
    <t>ORD024</t>
  </si>
  <si>
    <t>Mouse</t>
  </si>
  <si>
    <t>North</t>
  </si>
  <si>
    <t>ORD045</t>
  </si>
  <si>
    <t>ORD005</t>
  </si>
  <si>
    <t>ORD042</t>
  </si>
  <si>
    <t>Kavin</t>
  </si>
  <si>
    <t>ORD093</t>
  </si>
  <si>
    <t>East</t>
  </si>
  <si>
    <t>ORD094</t>
  </si>
  <si>
    <t>ORD010</t>
  </si>
  <si>
    <t>SIngle Condition</t>
  </si>
  <si>
    <t>ORD032</t>
  </si>
  <si>
    <t>Ravi</t>
  </si>
  <si>
    <t>ORD060</t>
  </si>
  <si>
    <t>Multiple Condition</t>
  </si>
  <si>
    <t>ORD007</t>
  </si>
  <si>
    <t>ORD097</t>
  </si>
  <si>
    <t>ORD001</t>
  </si>
  <si>
    <t>ORD040</t>
  </si>
  <si>
    <t>ORD076</t>
  </si>
  <si>
    <t>ORD077</t>
  </si>
  <si>
    <t>ORD079</t>
  </si>
  <si>
    <t>Monitor</t>
  </si>
  <si>
    <t>ORD054</t>
  </si>
  <si>
    <t>ORD091</t>
  </si>
  <si>
    <t>ORD025</t>
  </si>
  <si>
    <t>ORD036</t>
  </si>
  <si>
    <t>ORD013</t>
  </si>
  <si>
    <t>ORD012</t>
  </si>
  <si>
    <t>ORD100</t>
  </si>
  <si>
    <t>ORD061</t>
  </si>
  <si>
    <t>ORD058</t>
  </si>
  <si>
    <t>ORD028</t>
  </si>
  <si>
    <t>Priya</t>
  </si>
  <si>
    <t>ORD085</t>
  </si>
  <si>
    <t>ORD049</t>
  </si>
  <si>
    <t>ORD090</t>
  </si>
  <si>
    <t>ORD084</t>
  </si>
  <si>
    <t>ORD059</t>
  </si>
  <si>
    <t>ORD066</t>
  </si>
  <si>
    <t>ORD002</t>
  </si>
  <si>
    <t>ORD099</t>
  </si>
  <si>
    <t>ORD034</t>
  </si>
  <si>
    <t>ORD009</t>
  </si>
  <si>
    <t>ORD064</t>
  </si>
  <si>
    <t>ORD075</t>
  </si>
  <si>
    <t>ORD062</t>
  </si>
  <si>
    <t>ORD041</t>
  </si>
  <si>
    <t>ORD051</t>
  </si>
  <si>
    <t>ORD082</t>
  </si>
  <si>
    <t>ORD003</t>
  </si>
  <si>
    <t>ORD065</t>
  </si>
  <si>
    <t>ORD017</t>
  </si>
  <si>
    <t>ORD039</t>
  </si>
  <si>
    <t>ORD056</t>
  </si>
  <si>
    <t>ORD087</t>
  </si>
  <si>
    <t>ORD057</t>
  </si>
  <si>
    <t>ORD047</t>
  </si>
  <si>
    <t>ORD004</t>
  </si>
  <si>
    <t>ORD073</t>
  </si>
  <si>
    <t>ORD027</t>
  </si>
  <si>
    <t>ORD080</t>
  </si>
  <si>
    <t>ORD038</t>
  </si>
  <si>
    <t>ORD008</t>
  </si>
  <si>
    <t>ORD006</t>
  </si>
  <si>
    <t>ORD078</t>
  </si>
  <si>
    <t>ORD070</t>
  </si>
  <si>
    <t>ORD050</t>
  </si>
  <si>
    <t>ORD030</t>
  </si>
  <si>
    <t>ORD046</t>
  </si>
  <si>
    <t>ORD095</t>
  </si>
  <si>
    <t>ORD035</t>
  </si>
  <si>
    <t>ORD069</t>
  </si>
  <si>
    <t>ORD014</t>
  </si>
  <si>
    <t>ORD021</t>
  </si>
  <si>
    <t>ORD043</t>
  </si>
  <si>
    <t>ORD096</t>
  </si>
  <si>
    <t>ORD026</t>
  </si>
  <si>
    <t>ORD063</t>
  </si>
  <si>
    <t>ORD016</t>
  </si>
  <si>
    <t>ORD031</t>
  </si>
  <si>
    <t>ORD088</t>
  </si>
  <si>
    <t>ORD081</t>
  </si>
  <si>
    <t>ORD072</t>
  </si>
  <si>
    <t>ORD048</t>
  </si>
  <si>
    <t>ORD098</t>
  </si>
  <si>
    <t>ORD018</t>
  </si>
  <si>
    <t>ORD086</t>
  </si>
  <si>
    <t>ORD033</t>
  </si>
  <si>
    <t>ORD052</t>
  </si>
  <si>
    <t>ORD022</t>
  </si>
  <si>
    <t>ORD020</t>
  </si>
  <si>
    <t>ORD071</t>
  </si>
  <si>
    <t>ORD089</t>
  </si>
  <si>
    <t>ORD029</t>
  </si>
  <si>
    <t>ORD074</t>
  </si>
  <si>
    <t>ORD067</t>
  </si>
  <si>
    <t>ORD023</t>
  </si>
  <si>
    <t>ORD055</t>
  </si>
  <si>
    <t>ORD037</t>
  </si>
  <si>
    <t>ORD011</t>
  </si>
  <si>
    <t>ORD019</t>
  </si>
  <si>
    <t>ORD083</t>
  </si>
  <si>
    <t>ORD044</t>
  </si>
  <si>
    <t>ORD068</t>
  </si>
  <si>
    <t>Column</t>
  </si>
  <si>
    <t>Description</t>
  </si>
  <si>
    <t>Unique order identifier</t>
  </si>
  <si>
    <t>Order date during 2026</t>
  </si>
  <si>
    <t>Product sold</t>
  </si>
  <si>
    <t>Product category</t>
  </si>
  <si>
    <t>Sales region</t>
  </si>
  <si>
    <t>Sales representative</t>
  </si>
  <si>
    <t>Number of units sold</t>
  </si>
  <si>
    <t>Price per unit before discount</t>
  </si>
  <si>
    <t>Discount rate</t>
  </si>
  <si>
    <t>Total sales after discount</t>
  </si>
  <si>
    <t>Estimated cost amount</t>
  </si>
  <si>
    <t>Profit = Sales Amount - Cost Amount</t>
  </si>
  <si>
    <t>Function</t>
  </si>
  <si>
    <t>Practice task</t>
  </si>
  <si>
    <t>Answers</t>
  </si>
  <si>
    <t>SUMIF</t>
  </si>
  <si>
    <t>Find total Sales_Amount for Laptop.</t>
  </si>
  <si>
    <t>AVERAGEIF</t>
  </si>
  <si>
    <t>Find average Profit for the South region.</t>
  </si>
  <si>
    <t>SUMIFS</t>
  </si>
  <si>
    <t>Find total Sales_Amount for Laptop in the South region.</t>
  </si>
  <si>
    <t>AVERAGEIFS</t>
  </si>
  <si>
    <t>Find average Profit for the Electronics category in the West region.</t>
  </si>
  <si>
    <t>MAXIFS (single condition)</t>
  </si>
  <si>
    <t>Find maximum Sales_Amount for Mouse orders.</t>
  </si>
  <si>
    <t>MINIFS (single condition)</t>
  </si>
  <si>
    <t>Find minimum Profit for the North region.</t>
  </si>
  <si>
    <t>MAXIFS (multiple conditions)</t>
  </si>
  <si>
    <t>Find maximum Sales_Amount for Laptop orders in the East region.</t>
  </si>
  <si>
    <t>MINIFS (multiple conditions)</t>
  </si>
  <si>
    <t>Find minimum Profit for Accessories orders in the South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</si>
</sst>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A13" workbookViewId="0">
      <selection activeCell="Q15" sqref="Q15"/>
    </sheetView>
  </sheetViews>
  <sheetFormatPr defaultRowHeight="15"/>
  <cols>
    <col min="2" max="2" width="15.5703125" customWidth="1"/>
    <col min="10" max="10" width="12.28515625" customWidth="1"/>
    <col min="11" max="11" width="11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7">
      <c r="A2" t="s">
        <v>12</v>
      </c>
      <c r="B2" s="2">
        <v>46023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>
        <v>43346</v>
      </c>
      <c r="I2">
        <v>0</v>
      </c>
      <c r="J2">
        <v>173384</v>
      </c>
      <c r="K2">
        <v>130056.81</v>
      </c>
      <c r="L2">
        <v>43327.19</v>
      </c>
    </row>
    <row r="3" spans="1:17">
      <c r="A3" t="s">
        <v>17</v>
      </c>
      <c r="B3" s="2">
        <v>46028</v>
      </c>
      <c r="C3" t="s">
        <v>18</v>
      </c>
      <c r="D3" t="s">
        <v>19</v>
      </c>
      <c r="E3" t="s">
        <v>20</v>
      </c>
      <c r="F3" t="s">
        <v>21</v>
      </c>
      <c r="G3">
        <v>7</v>
      </c>
      <c r="H3">
        <v>5034</v>
      </c>
      <c r="I3">
        <v>0.1</v>
      </c>
      <c r="J3">
        <v>31714.2</v>
      </c>
      <c r="K3">
        <v>28650.57</v>
      </c>
      <c r="L3">
        <v>3063.63</v>
      </c>
    </row>
    <row r="4" spans="1:17">
      <c r="A4" t="s">
        <v>22</v>
      </c>
      <c r="B4" s="2">
        <v>46029</v>
      </c>
      <c r="C4" t="s">
        <v>23</v>
      </c>
      <c r="D4" t="s">
        <v>19</v>
      </c>
      <c r="E4" t="s">
        <v>20</v>
      </c>
      <c r="F4" t="s">
        <v>24</v>
      </c>
      <c r="G4">
        <v>5</v>
      </c>
      <c r="H4">
        <v>1317</v>
      </c>
      <c r="I4">
        <v>0.15</v>
      </c>
      <c r="J4">
        <v>5597.25</v>
      </c>
      <c r="K4">
        <v>3981.43</v>
      </c>
      <c r="L4">
        <v>1615.82</v>
      </c>
    </row>
    <row r="5" spans="1:17">
      <c r="A5" t="s">
        <v>25</v>
      </c>
      <c r="B5" s="2">
        <v>46039</v>
      </c>
      <c r="C5" t="s">
        <v>26</v>
      </c>
      <c r="D5" t="s">
        <v>19</v>
      </c>
      <c r="E5" t="s">
        <v>27</v>
      </c>
      <c r="F5" t="s">
        <v>24</v>
      </c>
      <c r="G5">
        <v>2</v>
      </c>
      <c r="H5">
        <v>1224</v>
      </c>
      <c r="I5">
        <v>0</v>
      </c>
      <c r="J5">
        <v>2448</v>
      </c>
      <c r="K5">
        <v>1554.35</v>
      </c>
      <c r="L5">
        <v>893.65</v>
      </c>
    </row>
    <row r="6" spans="1:17">
      <c r="A6" t="s">
        <v>28</v>
      </c>
      <c r="B6" s="2">
        <v>46043</v>
      </c>
      <c r="C6" t="s">
        <v>18</v>
      </c>
      <c r="D6" t="s">
        <v>19</v>
      </c>
      <c r="E6" t="s">
        <v>27</v>
      </c>
      <c r="F6" t="s">
        <v>21</v>
      </c>
      <c r="G6">
        <v>3</v>
      </c>
      <c r="H6">
        <v>1542</v>
      </c>
      <c r="I6">
        <v>0.1</v>
      </c>
      <c r="J6">
        <v>4163.3999999999996</v>
      </c>
      <c r="K6">
        <v>3087.93</v>
      </c>
      <c r="L6">
        <v>1075.47</v>
      </c>
    </row>
    <row r="7" spans="1:17">
      <c r="A7" t="s">
        <v>29</v>
      </c>
      <c r="B7" s="2">
        <v>46045</v>
      </c>
      <c r="C7" t="s">
        <v>13</v>
      </c>
      <c r="D7" t="s">
        <v>14</v>
      </c>
      <c r="E7" t="s">
        <v>20</v>
      </c>
      <c r="F7" t="s">
        <v>21</v>
      </c>
      <c r="G7">
        <v>2</v>
      </c>
      <c r="H7">
        <v>46763</v>
      </c>
      <c r="I7">
        <v>0.1</v>
      </c>
      <c r="J7">
        <v>84173.4</v>
      </c>
      <c r="K7">
        <v>67796.460000000006</v>
      </c>
      <c r="L7">
        <v>16376.94</v>
      </c>
      <c r="N7">
        <f>SUMIF(Sales_Data!C2:C101,"Laptop",Sales_Data!J2:J101)</f>
        <v>4376889.75</v>
      </c>
      <c r="Q7">
        <f>SUMIF(C2:C101,"Laptop",J2:J101)</f>
        <v>4376889.75</v>
      </c>
    </row>
    <row r="8" spans="1:17">
      <c r="A8" t="s">
        <v>30</v>
      </c>
      <c r="B8" s="2">
        <v>46045</v>
      </c>
      <c r="C8" t="s">
        <v>18</v>
      </c>
      <c r="D8" t="s">
        <v>19</v>
      </c>
      <c r="E8" t="s">
        <v>15</v>
      </c>
      <c r="F8" t="s">
        <v>31</v>
      </c>
      <c r="G8">
        <v>1</v>
      </c>
      <c r="H8">
        <v>1956</v>
      </c>
      <c r="I8">
        <v>0.15</v>
      </c>
      <c r="J8">
        <v>1662.6</v>
      </c>
      <c r="K8">
        <v>1523.81</v>
      </c>
      <c r="L8">
        <v>138.79</v>
      </c>
      <c r="N8">
        <f>AVERAGEIF(E2:E101,"South",J2:J102)</f>
        <v>75848.824999999983</v>
      </c>
      <c r="Q8">
        <f>AVERAGEIF(E2:E101,"South",L2:L102)</f>
        <v>19176.661785714288</v>
      </c>
    </row>
    <row r="9" spans="1:17">
      <c r="A9" t="s">
        <v>32</v>
      </c>
      <c r="B9" s="2">
        <v>46049</v>
      </c>
      <c r="C9" t="s">
        <v>18</v>
      </c>
      <c r="D9" t="s">
        <v>19</v>
      </c>
      <c r="E9" t="s">
        <v>33</v>
      </c>
      <c r="F9" t="s">
        <v>21</v>
      </c>
      <c r="G9">
        <v>8</v>
      </c>
      <c r="H9">
        <v>4808</v>
      </c>
      <c r="I9">
        <v>0.1</v>
      </c>
      <c r="J9">
        <v>34617.599999999999</v>
      </c>
      <c r="K9">
        <v>24011.05</v>
      </c>
      <c r="L9">
        <v>10606.55</v>
      </c>
      <c r="N9">
        <f>SUMIFS(J2:J101,Sales_Data!C2:C101,"Laptop",Sales_Data!E2:E101,"South")</f>
        <v>1736015.65</v>
      </c>
      <c r="Q9">
        <f>SUMIFS(L2:L101,D2:D101,"Electronics")</f>
        <v>1080945.02</v>
      </c>
    </row>
    <row r="10" spans="1:17">
      <c r="A10" t="s">
        <v>34</v>
      </c>
      <c r="B10" s="2">
        <v>46050</v>
      </c>
      <c r="C10" t="s">
        <v>23</v>
      </c>
      <c r="D10" t="s">
        <v>19</v>
      </c>
      <c r="E10" t="s">
        <v>15</v>
      </c>
      <c r="F10" t="s">
        <v>24</v>
      </c>
      <c r="G10">
        <v>2</v>
      </c>
      <c r="H10">
        <v>2441</v>
      </c>
      <c r="I10">
        <v>0.15</v>
      </c>
      <c r="J10">
        <v>4149.7</v>
      </c>
      <c r="K10">
        <v>2918.36</v>
      </c>
      <c r="L10">
        <v>1231.3399999999999</v>
      </c>
      <c r="N10">
        <f>AVERAGEIFS(Sales_Data!L2:L101,Sales_Data!D2:D101,"Electronics",Sales_Data!E2:E101,"West")</f>
        <v>16925.605</v>
      </c>
      <c r="Q10">
        <f>AVERAGEIFS(J2:J101,C2:C101,"Mouse")</f>
        <v>4742.902631578947</v>
      </c>
    </row>
    <row r="11" spans="1:17">
      <c r="A11" t="s">
        <v>35</v>
      </c>
      <c r="B11" s="2">
        <v>46051</v>
      </c>
      <c r="C11" t="s">
        <v>26</v>
      </c>
      <c r="D11" t="s">
        <v>19</v>
      </c>
      <c r="E11" t="s">
        <v>15</v>
      </c>
      <c r="F11" t="s">
        <v>21</v>
      </c>
      <c r="G11">
        <v>5</v>
      </c>
      <c r="H11">
        <v>1447</v>
      </c>
      <c r="I11">
        <v>0.05</v>
      </c>
      <c r="J11">
        <v>6873.25</v>
      </c>
      <c r="K11">
        <v>5385.06</v>
      </c>
      <c r="L11">
        <v>1488.19</v>
      </c>
      <c r="N11">
        <f>_xlfn.MAXIFS(J2:J101,C2:C101,"Mouse")</f>
        <v>11164.4</v>
      </c>
      <c r="O11" t="s">
        <v>36</v>
      </c>
      <c r="Q11">
        <f>MIN(L2:L101)</f>
        <v>92.47</v>
      </c>
    </row>
    <row r="12" spans="1:17">
      <c r="A12" t="s">
        <v>37</v>
      </c>
      <c r="B12" s="2">
        <v>46052</v>
      </c>
      <c r="C12" t="s">
        <v>23</v>
      </c>
      <c r="D12" t="s">
        <v>19</v>
      </c>
      <c r="E12" t="s">
        <v>15</v>
      </c>
      <c r="F12" t="s">
        <v>38</v>
      </c>
      <c r="G12">
        <v>8</v>
      </c>
      <c r="H12">
        <v>1434</v>
      </c>
      <c r="I12">
        <v>0.05</v>
      </c>
      <c r="J12">
        <v>10898.4</v>
      </c>
      <c r="K12">
        <v>7470.68</v>
      </c>
      <c r="L12">
        <v>3427.72</v>
      </c>
      <c r="N12">
        <f>_xlfn.MINIFS(L2:L101,E2:E101,"North")</f>
        <v>92.47</v>
      </c>
      <c r="Q12">
        <f>MAX(L2:L101)</f>
        <v>91513.85</v>
      </c>
    </row>
    <row r="13" spans="1:17">
      <c r="A13" t="s">
        <v>39</v>
      </c>
      <c r="B13" s="2">
        <v>46060</v>
      </c>
      <c r="C13" t="s">
        <v>26</v>
      </c>
      <c r="D13" t="s">
        <v>19</v>
      </c>
      <c r="E13" t="s">
        <v>27</v>
      </c>
      <c r="F13" t="s">
        <v>24</v>
      </c>
      <c r="G13">
        <v>1</v>
      </c>
      <c r="H13">
        <v>750</v>
      </c>
      <c r="I13">
        <v>0.15</v>
      </c>
      <c r="J13">
        <v>637.5</v>
      </c>
      <c r="K13">
        <v>545.03</v>
      </c>
      <c r="L13">
        <v>92.47</v>
      </c>
      <c r="N13">
        <f>_xlfn.MAXIFS(Sales_Data!J2:J101,Sales_Data!C2:C101,"Laptop",Sales_Data!E2:E101,"East")</f>
        <v>216942</v>
      </c>
      <c r="O13" t="s">
        <v>40</v>
      </c>
      <c r="Q13">
        <f>SUMIFS(J2:J101,F2:F101,"Arun",D2:D101,"Accessories")</f>
        <v>45330.05</v>
      </c>
    </row>
    <row r="14" spans="1:17">
      <c r="A14" t="s">
        <v>41</v>
      </c>
      <c r="B14" s="2">
        <v>46063</v>
      </c>
      <c r="C14" t="s">
        <v>18</v>
      </c>
      <c r="D14" t="s">
        <v>19</v>
      </c>
      <c r="E14" t="s">
        <v>27</v>
      </c>
      <c r="F14" t="s">
        <v>38</v>
      </c>
      <c r="G14">
        <v>2</v>
      </c>
      <c r="H14">
        <v>1575</v>
      </c>
      <c r="I14">
        <v>0.05</v>
      </c>
      <c r="J14">
        <v>2992.5</v>
      </c>
      <c r="K14">
        <v>2411.44</v>
      </c>
      <c r="L14">
        <v>581.05999999999995</v>
      </c>
      <c r="N14">
        <f>_xlfn.MINIFS(L2:L101,D2:D101,"Accessories",E2:E101,"South")</f>
        <v>572.16</v>
      </c>
      <c r="Q14">
        <f>AVERAGEIFS(L2:L102,E2:E102,"West",C2:C102,"Laptop")</f>
        <v>23420.091999999997</v>
      </c>
    </row>
    <row r="15" spans="1:17">
      <c r="A15" t="s">
        <v>42</v>
      </c>
      <c r="B15" s="2">
        <v>46064</v>
      </c>
      <c r="C15" t="s">
        <v>23</v>
      </c>
      <c r="D15" t="s">
        <v>19</v>
      </c>
      <c r="E15" t="s">
        <v>20</v>
      </c>
      <c r="F15" t="s">
        <v>16</v>
      </c>
      <c r="G15">
        <v>2</v>
      </c>
      <c r="H15">
        <v>1651</v>
      </c>
      <c r="I15">
        <v>0.05</v>
      </c>
      <c r="J15">
        <v>3136.9</v>
      </c>
      <c r="K15">
        <v>2124.89</v>
      </c>
      <c r="L15">
        <v>1012.01</v>
      </c>
    </row>
    <row r="16" spans="1:17">
      <c r="A16" t="s">
        <v>43</v>
      </c>
      <c r="B16" s="2">
        <v>46075</v>
      </c>
      <c r="C16" t="s">
        <v>13</v>
      </c>
      <c r="D16" t="s">
        <v>14</v>
      </c>
      <c r="E16" t="s">
        <v>20</v>
      </c>
      <c r="F16" t="s">
        <v>38</v>
      </c>
      <c r="G16">
        <v>5</v>
      </c>
      <c r="H16">
        <v>43024</v>
      </c>
      <c r="I16">
        <v>0.05</v>
      </c>
      <c r="J16">
        <v>204364</v>
      </c>
      <c r="K16">
        <v>131973.78</v>
      </c>
      <c r="L16">
        <v>72390.22</v>
      </c>
    </row>
    <row r="17" spans="1:12">
      <c r="A17" t="s">
        <v>44</v>
      </c>
      <c r="B17" s="2">
        <v>46077</v>
      </c>
      <c r="C17" t="s">
        <v>18</v>
      </c>
      <c r="D17" t="s">
        <v>19</v>
      </c>
      <c r="E17" t="s">
        <v>20</v>
      </c>
      <c r="F17" t="s">
        <v>38</v>
      </c>
      <c r="G17">
        <v>5</v>
      </c>
      <c r="H17">
        <v>2048</v>
      </c>
      <c r="I17">
        <v>0.05</v>
      </c>
      <c r="J17">
        <v>9728</v>
      </c>
      <c r="K17">
        <v>6589.15</v>
      </c>
      <c r="L17">
        <v>3138.85</v>
      </c>
    </row>
    <row r="18" spans="1:12">
      <c r="A18" t="s">
        <v>45</v>
      </c>
      <c r="B18" s="2">
        <v>46081</v>
      </c>
      <c r="C18" t="s">
        <v>26</v>
      </c>
      <c r="D18" t="s">
        <v>19</v>
      </c>
      <c r="E18" t="s">
        <v>20</v>
      </c>
      <c r="F18" t="s">
        <v>16</v>
      </c>
      <c r="G18">
        <v>3</v>
      </c>
      <c r="H18">
        <v>744</v>
      </c>
      <c r="I18">
        <v>0.05</v>
      </c>
      <c r="J18">
        <v>2120.4</v>
      </c>
      <c r="K18">
        <v>1548.24</v>
      </c>
      <c r="L18">
        <v>572.16</v>
      </c>
    </row>
    <row r="19" spans="1:12">
      <c r="A19" t="s">
        <v>46</v>
      </c>
      <c r="B19" s="2">
        <v>46081</v>
      </c>
      <c r="C19" t="s">
        <v>18</v>
      </c>
      <c r="D19" t="s">
        <v>19</v>
      </c>
      <c r="E19" t="s">
        <v>27</v>
      </c>
      <c r="F19" t="s">
        <v>21</v>
      </c>
      <c r="G19">
        <v>5</v>
      </c>
      <c r="H19">
        <v>4221</v>
      </c>
      <c r="I19">
        <v>0.05</v>
      </c>
      <c r="J19">
        <v>20049.75</v>
      </c>
      <c r="K19">
        <v>15309.87</v>
      </c>
      <c r="L19">
        <v>4739.88</v>
      </c>
    </row>
    <row r="20" spans="1:12">
      <c r="A20" t="s">
        <v>47</v>
      </c>
      <c r="B20" s="2">
        <v>46084</v>
      </c>
      <c r="C20" t="s">
        <v>48</v>
      </c>
      <c r="D20" t="s">
        <v>14</v>
      </c>
      <c r="E20" t="s">
        <v>27</v>
      </c>
      <c r="F20" t="s">
        <v>24</v>
      </c>
      <c r="G20">
        <v>4</v>
      </c>
      <c r="H20">
        <v>9669</v>
      </c>
      <c r="I20">
        <v>0.1</v>
      </c>
      <c r="J20">
        <v>34808.400000000001</v>
      </c>
      <c r="K20">
        <v>30324.71</v>
      </c>
      <c r="L20">
        <v>4483.6899999999996</v>
      </c>
    </row>
    <row r="21" spans="1:12">
      <c r="A21" t="s">
        <v>49</v>
      </c>
      <c r="B21" s="2">
        <v>46086</v>
      </c>
      <c r="C21" t="s">
        <v>18</v>
      </c>
      <c r="D21" t="s">
        <v>19</v>
      </c>
      <c r="E21" t="s">
        <v>27</v>
      </c>
      <c r="F21" t="s">
        <v>31</v>
      </c>
      <c r="G21">
        <v>7</v>
      </c>
      <c r="H21">
        <v>1773</v>
      </c>
      <c r="I21">
        <v>0.1</v>
      </c>
      <c r="J21">
        <v>11169.9</v>
      </c>
      <c r="K21">
        <v>9054.5400000000009</v>
      </c>
      <c r="L21">
        <v>2115.36</v>
      </c>
    </row>
    <row r="22" spans="1:12">
      <c r="A22" t="s">
        <v>50</v>
      </c>
      <c r="B22" s="2">
        <v>46087</v>
      </c>
      <c r="C22" t="s">
        <v>23</v>
      </c>
      <c r="D22" t="s">
        <v>19</v>
      </c>
      <c r="E22" t="s">
        <v>27</v>
      </c>
      <c r="F22" t="s">
        <v>31</v>
      </c>
      <c r="G22">
        <v>3</v>
      </c>
      <c r="H22">
        <v>2038</v>
      </c>
      <c r="I22">
        <v>0</v>
      </c>
      <c r="J22">
        <v>6114</v>
      </c>
      <c r="K22">
        <v>4585.04</v>
      </c>
      <c r="L22">
        <v>1528.96</v>
      </c>
    </row>
    <row r="23" spans="1:12">
      <c r="A23" t="s">
        <v>51</v>
      </c>
      <c r="B23" s="2">
        <v>46090</v>
      </c>
      <c r="C23" t="s">
        <v>23</v>
      </c>
      <c r="D23" t="s">
        <v>19</v>
      </c>
      <c r="E23" t="s">
        <v>20</v>
      </c>
      <c r="F23" t="s">
        <v>16</v>
      </c>
      <c r="G23">
        <v>4</v>
      </c>
      <c r="H23">
        <v>1940</v>
      </c>
      <c r="I23">
        <v>0.15</v>
      </c>
      <c r="J23">
        <v>6596</v>
      </c>
      <c r="K23">
        <v>4899.79</v>
      </c>
      <c r="L23">
        <v>1696.21</v>
      </c>
    </row>
    <row r="24" spans="1:12">
      <c r="A24" t="s">
        <v>52</v>
      </c>
      <c r="B24" s="2">
        <v>46090</v>
      </c>
      <c r="C24" t="s">
        <v>18</v>
      </c>
      <c r="D24" t="s">
        <v>19</v>
      </c>
      <c r="E24" t="s">
        <v>33</v>
      </c>
      <c r="F24" t="s">
        <v>31</v>
      </c>
      <c r="G24">
        <v>4</v>
      </c>
      <c r="H24">
        <v>3773</v>
      </c>
      <c r="I24">
        <v>0.05</v>
      </c>
      <c r="J24">
        <v>14337.4</v>
      </c>
      <c r="K24">
        <v>9715.44</v>
      </c>
      <c r="L24">
        <v>4621.96</v>
      </c>
    </row>
    <row r="25" spans="1:12">
      <c r="A25" t="s">
        <v>53</v>
      </c>
      <c r="B25" s="2">
        <v>46093</v>
      </c>
      <c r="C25" t="s">
        <v>26</v>
      </c>
      <c r="D25" t="s">
        <v>19</v>
      </c>
      <c r="E25" t="s">
        <v>33</v>
      </c>
      <c r="F25" t="s">
        <v>38</v>
      </c>
      <c r="G25">
        <v>7</v>
      </c>
      <c r="H25">
        <v>1419</v>
      </c>
      <c r="I25">
        <v>0.15</v>
      </c>
      <c r="J25">
        <v>8443.0499999999993</v>
      </c>
      <c r="K25">
        <v>6624.11</v>
      </c>
      <c r="L25">
        <v>1818.94</v>
      </c>
    </row>
    <row r="26" spans="1:12">
      <c r="A26" t="s">
        <v>54</v>
      </c>
      <c r="B26" s="2">
        <v>46094</v>
      </c>
      <c r="C26" t="s">
        <v>23</v>
      </c>
      <c r="D26" t="s">
        <v>19</v>
      </c>
      <c r="E26" t="s">
        <v>27</v>
      </c>
      <c r="F26" t="s">
        <v>38</v>
      </c>
      <c r="G26">
        <v>8</v>
      </c>
      <c r="H26">
        <v>2420</v>
      </c>
      <c r="I26">
        <v>0.15</v>
      </c>
      <c r="J26">
        <v>16456</v>
      </c>
      <c r="K26">
        <v>11892.64</v>
      </c>
      <c r="L26">
        <v>4563.3599999999997</v>
      </c>
    </row>
    <row r="27" spans="1:12">
      <c r="A27" t="s">
        <v>55</v>
      </c>
      <c r="B27" s="2">
        <v>46095</v>
      </c>
      <c r="C27" t="s">
        <v>23</v>
      </c>
      <c r="D27" t="s">
        <v>19</v>
      </c>
      <c r="E27" t="s">
        <v>27</v>
      </c>
      <c r="F27" t="s">
        <v>21</v>
      </c>
      <c r="G27">
        <v>2</v>
      </c>
      <c r="H27">
        <v>1720</v>
      </c>
      <c r="I27">
        <v>0.05</v>
      </c>
      <c r="J27">
        <v>3268</v>
      </c>
      <c r="K27">
        <v>2745.18</v>
      </c>
      <c r="L27">
        <v>522.82000000000005</v>
      </c>
    </row>
    <row r="28" spans="1:12">
      <c r="A28" t="s">
        <v>56</v>
      </c>
      <c r="B28" s="2">
        <v>46098</v>
      </c>
      <c r="C28" t="s">
        <v>48</v>
      </c>
      <c r="D28" t="s">
        <v>14</v>
      </c>
      <c r="E28" t="s">
        <v>15</v>
      </c>
      <c r="F28" t="s">
        <v>38</v>
      </c>
      <c r="G28">
        <v>4</v>
      </c>
      <c r="H28">
        <v>14291</v>
      </c>
      <c r="I28">
        <v>0.15</v>
      </c>
      <c r="J28">
        <v>48589.4</v>
      </c>
      <c r="K28">
        <v>38638.1</v>
      </c>
      <c r="L28">
        <v>9951.2999999999993</v>
      </c>
    </row>
    <row r="29" spans="1:12">
      <c r="A29" t="s">
        <v>57</v>
      </c>
      <c r="B29" s="2">
        <v>46109</v>
      </c>
      <c r="C29" t="s">
        <v>48</v>
      </c>
      <c r="D29" t="s">
        <v>14</v>
      </c>
      <c r="E29" t="s">
        <v>15</v>
      </c>
      <c r="F29" t="s">
        <v>21</v>
      </c>
      <c r="G29">
        <v>4</v>
      </c>
      <c r="H29">
        <v>16375</v>
      </c>
      <c r="I29">
        <v>0.15</v>
      </c>
      <c r="J29">
        <v>55675</v>
      </c>
      <c r="K29">
        <v>50467.519999999997</v>
      </c>
      <c r="L29">
        <v>5207.4799999999996</v>
      </c>
    </row>
    <row r="30" spans="1:12">
      <c r="A30" t="s">
        <v>58</v>
      </c>
      <c r="B30" s="2">
        <v>46116</v>
      </c>
      <c r="C30" t="s">
        <v>13</v>
      </c>
      <c r="D30" t="s">
        <v>14</v>
      </c>
      <c r="E30" t="s">
        <v>27</v>
      </c>
      <c r="F30" t="s">
        <v>59</v>
      </c>
      <c r="G30">
        <v>4</v>
      </c>
      <c r="H30">
        <v>52573</v>
      </c>
      <c r="I30">
        <v>0.15</v>
      </c>
      <c r="J30">
        <v>178748.2</v>
      </c>
      <c r="K30">
        <v>129044.37</v>
      </c>
      <c r="L30">
        <v>49703.83</v>
      </c>
    </row>
    <row r="31" spans="1:12">
      <c r="A31" t="s">
        <v>60</v>
      </c>
      <c r="B31" s="2">
        <v>46120</v>
      </c>
      <c r="C31" t="s">
        <v>23</v>
      </c>
      <c r="D31" t="s">
        <v>19</v>
      </c>
      <c r="E31" t="s">
        <v>33</v>
      </c>
      <c r="F31" t="s">
        <v>31</v>
      </c>
      <c r="G31">
        <v>5</v>
      </c>
      <c r="H31">
        <v>1931</v>
      </c>
      <c r="I31">
        <v>0</v>
      </c>
      <c r="J31">
        <v>9655</v>
      </c>
      <c r="K31">
        <v>6797.03</v>
      </c>
      <c r="L31">
        <v>2857.97</v>
      </c>
    </row>
    <row r="32" spans="1:12">
      <c r="A32" t="s">
        <v>61</v>
      </c>
      <c r="B32" s="2">
        <v>46121</v>
      </c>
      <c r="C32" t="s">
        <v>26</v>
      </c>
      <c r="D32" t="s">
        <v>19</v>
      </c>
      <c r="E32" t="s">
        <v>27</v>
      </c>
      <c r="F32" t="s">
        <v>21</v>
      </c>
      <c r="G32">
        <v>6</v>
      </c>
      <c r="H32">
        <v>812</v>
      </c>
      <c r="I32">
        <v>0.05</v>
      </c>
      <c r="J32">
        <v>4628.3999999999996</v>
      </c>
      <c r="K32">
        <v>3086.42</v>
      </c>
      <c r="L32">
        <v>1541.98</v>
      </c>
    </row>
    <row r="33" spans="1:12">
      <c r="A33" t="s">
        <v>62</v>
      </c>
      <c r="B33" s="2">
        <v>46122</v>
      </c>
      <c r="C33" t="s">
        <v>26</v>
      </c>
      <c r="D33" t="s">
        <v>19</v>
      </c>
      <c r="E33" t="s">
        <v>27</v>
      </c>
      <c r="F33" t="s">
        <v>59</v>
      </c>
      <c r="G33">
        <v>8</v>
      </c>
      <c r="H33">
        <v>783</v>
      </c>
      <c r="I33">
        <v>0.1</v>
      </c>
      <c r="J33">
        <v>5637.6</v>
      </c>
      <c r="K33">
        <v>5107.18</v>
      </c>
      <c r="L33">
        <v>530.41999999999996</v>
      </c>
    </row>
    <row r="34" spans="1:12">
      <c r="A34" t="s">
        <v>63</v>
      </c>
      <c r="B34" s="2">
        <v>46131</v>
      </c>
      <c r="C34" t="s">
        <v>18</v>
      </c>
      <c r="D34" t="s">
        <v>19</v>
      </c>
      <c r="E34" t="s">
        <v>15</v>
      </c>
      <c r="F34" t="s">
        <v>31</v>
      </c>
      <c r="G34">
        <v>1</v>
      </c>
      <c r="H34">
        <v>5249</v>
      </c>
      <c r="I34">
        <v>0.1</v>
      </c>
      <c r="J34">
        <v>4724.1000000000004</v>
      </c>
      <c r="K34">
        <v>3273.49</v>
      </c>
      <c r="L34">
        <v>1450.61</v>
      </c>
    </row>
    <row r="35" spans="1:12">
      <c r="A35" t="s">
        <v>64</v>
      </c>
      <c r="B35" s="2">
        <v>46138</v>
      </c>
      <c r="C35" t="s">
        <v>13</v>
      </c>
      <c r="D35" t="s">
        <v>14</v>
      </c>
      <c r="E35" t="s">
        <v>33</v>
      </c>
      <c r="F35" t="s">
        <v>16</v>
      </c>
      <c r="G35">
        <v>6</v>
      </c>
      <c r="H35">
        <v>38060</v>
      </c>
      <c r="I35">
        <v>0.05</v>
      </c>
      <c r="J35">
        <v>216942</v>
      </c>
      <c r="K35">
        <v>169322.31</v>
      </c>
      <c r="L35">
        <v>47619.69</v>
      </c>
    </row>
    <row r="36" spans="1:12">
      <c r="A36" t="s">
        <v>65</v>
      </c>
      <c r="B36" s="2">
        <v>46141</v>
      </c>
      <c r="C36" t="s">
        <v>26</v>
      </c>
      <c r="D36" t="s">
        <v>19</v>
      </c>
      <c r="E36" t="s">
        <v>33</v>
      </c>
      <c r="F36" t="s">
        <v>31</v>
      </c>
      <c r="G36">
        <v>6</v>
      </c>
      <c r="H36">
        <v>1414</v>
      </c>
      <c r="I36">
        <v>0</v>
      </c>
      <c r="J36">
        <v>8484</v>
      </c>
      <c r="K36">
        <v>5202.47</v>
      </c>
      <c r="L36">
        <v>3281.53</v>
      </c>
    </row>
    <row r="37" spans="1:12">
      <c r="A37" t="s">
        <v>66</v>
      </c>
      <c r="B37" s="2">
        <v>46142</v>
      </c>
      <c r="C37" t="s">
        <v>18</v>
      </c>
      <c r="D37" t="s">
        <v>19</v>
      </c>
      <c r="E37" t="s">
        <v>20</v>
      </c>
      <c r="F37" t="s">
        <v>16</v>
      </c>
      <c r="G37">
        <v>7</v>
      </c>
      <c r="H37">
        <v>1460</v>
      </c>
      <c r="I37">
        <v>0</v>
      </c>
      <c r="J37">
        <v>10220</v>
      </c>
      <c r="K37">
        <v>6157.42</v>
      </c>
      <c r="L37">
        <v>4062.58</v>
      </c>
    </row>
    <row r="38" spans="1:12">
      <c r="A38" t="s">
        <v>67</v>
      </c>
      <c r="B38" s="2">
        <v>46142</v>
      </c>
      <c r="C38" t="s">
        <v>23</v>
      </c>
      <c r="D38" t="s">
        <v>19</v>
      </c>
      <c r="E38" t="s">
        <v>20</v>
      </c>
      <c r="F38" t="s">
        <v>59</v>
      </c>
      <c r="G38">
        <v>5</v>
      </c>
      <c r="H38">
        <v>1958</v>
      </c>
      <c r="I38">
        <v>0.15</v>
      </c>
      <c r="J38">
        <v>8321.5</v>
      </c>
      <c r="K38">
        <v>5845.44</v>
      </c>
      <c r="L38">
        <v>2476.06</v>
      </c>
    </row>
    <row r="39" spans="1:12">
      <c r="A39" t="s">
        <v>68</v>
      </c>
      <c r="B39" s="2">
        <v>46143</v>
      </c>
      <c r="C39" t="s">
        <v>18</v>
      </c>
      <c r="D39" t="s">
        <v>19</v>
      </c>
      <c r="E39" t="s">
        <v>27</v>
      </c>
      <c r="F39" t="s">
        <v>24</v>
      </c>
      <c r="G39">
        <v>2</v>
      </c>
      <c r="H39">
        <v>2722</v>
      </c>
      <c r="I39">
        <v>0</v>
      </c>
      <c r="J39">
        <v>5444</v>
      </c>
      <c r="K39">
        <v>3934.97</v>
      </c>
      <c r="L39">
        <v>1509.03</v>
      </c>
    </row>
    <row r="40" spans="1:12">
      <c r="A40" t="s">
        <v>69</v>
      </c>
      <c r="B40" s="2">
        <v>46148</v>
      </c>
      <c r="C40" t="s">
        <v>26</v>
      </c>
      <c r="D40" t="s">
        <v>19</v>
      </c>
      <c r="E40" t="s">
        <v>33</v>
      </c>
      <c r="F40" t="s">
        <v>38</v>
      </c>
      <c r="G40">
        <v>2</v>
      </c>
      <c r="H40">
        <v>1123</v>
      </c>
      <c r="I40">
        <v>0.05</v>
      </c>
      <c r="J40">
        <v>2133.6999999999998</v>
      </c>
      <c r="K40">
        <v>1590.6</v>
      </c>
      <c r="L40">
        <v>543.1</v>
      </c>
    </row>
    <row r="41" spans="1:12">
      <c r="A41" t="s">
        <v>70</v>
      </c>
      <c r="B41" s="2">
        <v>46149</v>
      </c>
      <c r="C41" t="s">
        <v>18</v>
      </c>
      <c r="D41" t="s">
        <v>19</v>
      </c>
      <c r="E41" t="s">
        <v>15</v>
      </c>
      <c r="F41" t="s">
        <v>16</v>
      </c>
      <c r="G41">
        <v>8</v>
      </c>
      <c r="H41">
        <v>2503</v>
      </c>
      <c r="I41">
        <v>0.15</v>
      </c>
      <c r="J41">
        <v>17020.400000000001</v>
      </c>
      <c r="K41">
        <v>13776.85</v>
      </c>
      <c r="L41">
        <v>3243.55</v>
      </c>
    </row>
    <row r="42" spans="1:12">
      <c r="A42" t="s">
        <v>71</v>
      </c>
      <c r="B42" s="2">
        <v>46149</v>
      </c>
      <c r="C42" t="s">
        <v>13</v>
      </c>
      <c r="D42" t="s">
        <v>14</v>
      </c>
      <c r="E42" t="s">
        <v>33</v>
      </c>
      <c r="F42" t="s">
        <v>59</v>
      </c>
      <c r="G42">
        <v>2</v>
      </c>
      <c r="H42">
        <v>60599</v>
      </c>
      <c r="I42">
        <v>0</v>
      </c>
      <c r="J42">
        <v>121198</v>
      </c>
      <c r="K42">
        <v>92233.61</v>
      </c>
      <c r="L42">
        <v>28964.39</v>
      </c>
    </row>
    <row r="43" spans="1:12">
      <c r="A43" t="s">
        <v>72</v>
      </c>
      <c r="B43" s="2">
        <v>46150</v>
      </c>
      <c r="C43" t="s">
        <v>13</v>
      </c>
      <c r="D43" t="s">
        <v>14</v>
      </c>
      <c r="E43" t="s">
        <v>20</v>
      </c>
      <c r="F43" t="s">
        <v>21</v>
      </c>
      <c r="G43">
        <v>4</v>
      </c>
      <c r="H43">
        <v>40763</v>
      </c>
      <c r="I43">
        <v>0.15</v>
      </c>
      <c r="J43">
        <v>138594.20000000001</v>
      </c>
      <c r="K43">
        <v>96535.33</v>
      </c>
      <c r="L43">
        <v>42058.87</v>
      </c>
    </row>
    <row r="44" spans="1:12">
      <c r="A44" t="s">
        <v>73</v>
      </c>
      <c r="B44" s="2">
        <v>46158</v>
      </c>
      <c r="C44" t="s">
        <v>18</v>
      </c>
      <c r="D44" t="s">
        <v>19</v>
      </c>
      <c r="E44" t="s">
        <v>27</v>
      </c>
      <c r="F44" t="s">
        <v>31</v>
      </c>
      <c r="G44">
        <v>5</v>
      </c>
      <c r="H44">
        <v>2925</v>
      </c>
      <c r="I44">
        <v>0.1</v>
      </c>
      <c r="J44">
        <v>13162.5</v>
      </c>
      <c r="K44">
        <v>9197.1299999999992</v>
      </c>
      <c r="L44">
        <v>3965.37</v>
      </c>
    </row>
    <row r="45" spans="1:12">
      <c r="A45" t="s">
        <v>74</v>
      </c>
      <c r="B45" s="2">
        <v>46158</v>
      </c>
      <c r="C45" t="s">
        <v>18</v>
      </c>
      <c r="D45" t="s">
        <v>19</v>
      </c>
      <c r="E45" t="s">
        <v>33</v>
      </c>
      <c r="F45" t="s">
        <v>24</v>
      </c>
      <c r="G45">
        <v>2</v>
      </c>
      <c r="H45">
        <v>3339</v>
      </c>
      <c r="I45">
        <v>0.05</v>
      </c>
      <c r="J45">
        <v>6344.1</v>
      </c>
      <c r="K45">
        <v>4803.76</v>
      </c>
      <c r="L45">
        <v>1540.34</v>
      </c>
    </row>
    <row r="46" spans="1:12">
      <c r="A46" t="s">
        <v>75</v>
      </c>
      <c r="B46" s="2">
        <v>46160</v>
      </c>
      <c r="C46" t="s">
        <v>26</v>
      </c>
      <c r="D46" t="s">
        <v>19</v>
      </c>
      <c r="E46" t="s">
        <v>15</v>
      </c>
      <c r="F46" t="s">
        <v>59</v>
      </c>
      <c r="G46">
        <v>5</v>
      </c>
      <c r="H46">
        <v>1130</v>
      </c>
      <c r="I46">
        <v>0.15</v>
      </c>
      <c r="J46">
        <v>4802.5</v>
      </c>
      <c r="K46">
        <v>3907.37</v>
      </c>
      <c r="L46">
        <v>895.13</v>
      </c>
    </row>
    <row r="47" spans="1:12">
      <c r="A47" t="s">
        <v>76</v>
      </c>
      <c r="B47" s="2">
        <v>46165</v>
      </c>
      <c r="C47" t="s">
        <v>18</v>
      </c>
      <c r="D47" t="s">
        <v>19</v>
      </c>
      <c r="E47" t="s">
        <v>20</v>
      </c>
      <c r="F47" t="s">
        <v>16</v>
      </c>
      <c r="G47">
        <v>4</v>
      </c>
      <c r="H47">
        <v>5664</v>
      </c>
      <c r="I47">
        <v>0.15</v>
      </c>
      <c r="J47">
        <v>19257.599999999999</v>
      </c>
      <c r="K47">
        <v>14339.11</v>
      </c>
      <c r="L47">
        <v>4918.49</v>
      </c>
    </row>
    <row r="48" spans="1:12">
      <c r="A48" t="s">
        <v>77</v>
      </c>
      <c r="B48" s="2">
        <v>46169</v>
      </c>
      <c r="C48" t="s">
        <v>23</v>
      </c>
      <c r="D48" t="s">
        <v>19</v>
      </c>
      <c r="E48" t="s">
        <v>15</v>
      </c>
      <c r="F48" t="s">
        <v>38</v>
      </c>
      <c r="G48">
        <v>4</v>
      </c>
      <c r="H48">
        <v>1924</v>
      </c>
      <c r="I48">
        <v>0.15</v>
      </c>
      <c r="J48">
        <v>6541.6</v>
      </c>
      <c r="K48">
        <v>4606.79</v>
      </c>
      <c r="L48">
        <v>1934.81</v>
      </c>
    </row>
    <row r="49" spans="1:12">
      <c r="A49" t="s">
        <v>78</v>
      </c>
      <c r="B49" s="2">
        <v>46175</v>
      </c>
      <c r="C49" t="s">
        <v>13</v>
      </c>
      <c r="D49" t="s">
        <v>14</v>
      </c>
      <c r="E49" t="s">
        <v>33</v>
      </c>
      <c r="F49" t="s">
        <v>16</v>
      </c>
      <c r="G49">
        <v>3</v>
      </c>
      <c r="H49">
        <v>51635</v>
      </c>
      <c r="I49">
        <v>0</v>
      </c>
      <c r="J49">
        <v>154905</v>
      </c>
      <c r="K49">
        <v>122208.34</v>
      </c>
      <c r="L49">
        <v>32696.66</v>
      </c>
    </row>
    <row r="50" spans="1:12">
      <c r="A50" t="s">
        <v>79</v>
      </c>
      <c r="B50" s="2">
        <v>46177</v>
      </c>
      <c r="C50" t="s">
        <v>13</v>
      </c>
      <c r="D50" t="s">
        <v>14</v>
      </c>
      <c r="E50" t="s">
        <v>27</v>
      </c>
      <c r="F50" t="s">
        <v>31</v>
      </c>
      <c r="G50">
        <v>5</v>
      </c>
      <c r="H50">
        <v>40169</v>
      </c>
      <c r="I50">
        <v>0.15</v>
      </c>
      <c r="J50">
        <v>170718.25</v>
      </c>
      <c r="K50">
        <v>156678.94</v>
      </c>
      <c r="L50">
        <v>14039.31</v>
      </c>
    </row>
    <row r="51" spans="1:12">
      <c r="A51" t="s">
        <v>80</v>
      </c>
      <c r="B51" s="2">
        <v>46177</v>
      </c>
      <c r="C51" t="s">
        <v>26</v>
      </c>
      <c r="D51" t="s">
        <v>19</v>
      </c>
      <c r="E51" t="s">
        <v>27</v>
      </c>
      <c r="F51" t="s">
        <v>21</v>
      </c>
      <c r="G51">
        <v>7</v>
      </c>
      <c r="H51">
        <v>1193</v>
      </c>
      <c r="I51">
        <v>0.05</v>
      </c>
      <c r="J51">
        <v>7933.45</v>
      </c>
      <c r="K51">
        <v>6077.22</v>
      </c>
      <c r="L51">
        <v>1856.23</v>
      </c>
    </row>
    <row r="52" spans="1:12">
      <c r="A52" t="s">
        <v>81</v>
      </c>
      <c r="B52" s="2">
        <v>46179</v>
      </c>
      <c r="C52" t="s">
        <v>48</v>
      </c>
      <c r="D52" t="s">
        <v>14</v>
      </c>
      <c r="E52" t="s">
        <v>20</v>
      </c>
      <c r="F52" t="s">
        <v>24</v>
      </c>
      <c r="G52">
        <v>5</v>
      </c>
      <c r="H52">
        <v>11630</v>
      </c>
      <c r="I52">
        <v>0.15</v>
      </c>
      <c r="J52">
        <v>49427.5</v>
      </c>
      <c r="K52">
        <v>43381.58</v>
      </c>
      <c r="L52">
        <v>6045.92</v>
      </c>
    </row>
    <row r="53" spans="1:12">
      <c r="A53" t="s">
        <v>82</v>
      </c>
      <c r="B53" s="2">
        <v>46187</v>
      </c>
      <c r="C53" t="s">
        <v>48</v>
      </c>
      <c r="D53" t="s">
        <v>14</v>
      </c>
      <c r="E53" t="s">
        <v>20</v>
      </c>
      <c r="F53" t="s">
        <v>31</v>
      </c>
      <c r="G53">
        <v>5</v>
      </c>
      <c r="H53">
        <v>11443</v>
      </c>
      <c r="I53">
        <v>0.15</v>
      </c>
      <c r="J53">
        <v>48632.75</v>
      </c>
      <c r="K53">
        <v>43974.43</v>
      </c>
      <c r="L53">
        <v>4658.32</v>
      </c>
    </row>
    <row r="54" spans="1:12">
      <c r="A54" t="s">
        <v>83</v>
      </c>
      <c r="B54" s="2">
        <v>46193</v>
      </c>
      <c r="C54" t="s">
        <v>18</v>
      </c>
      <c r="D54" t="s">
        <v>19</v>
      </c>
      <c r="E54" t="s">
        <v>27</v>
      </c>
      <c r="F54" t="s">
        <v>59</v>
      </c>
      <c r="G54">
        <v>3</v>
      </c>
      <c r="H54">
        <v>2650</v>
      </c>
      <c r="I54">
        <v>0.15</v>
      </c>
      <c r="J54">
        <v>6757.5</v>
      </c>
      <c r="K54">
        <v>4658.29</v>
      </c>
      <c r="L54">
        <v>2099.21</v>
      </c>
    </row>
    <row r="55" spans="1:12">
      <c r="A55" t="s">
        <v>84</v>
      </c>
      <c r="B55" s="2">
        <v>46195</v>
      </c>
      <c r="C55" t="s">
        <v>13</v>
      </c>
      <c r="D55" t="s">
        <v>14</v>
      </c>
      <c r="E55" t="s">
        <v>27</v>
      </c>
      <c r="F55" t="s">
        <v>38</v>
      </c>
      <c r="G55">
        <v>7</v>
      </c>
      <c r="H55">
        <v>46149</v>
      </c>
      <c r="I55">
        <v>0.1</v>
      </c>
      <c r="J55">
        <v>290738.7</v>
      </c>
      <c r="K55">
        <v>199419.32</v>
      </c>
      <c r="L55">
        <v>91319.38</v>
      </c>
    </row>
    <row r="56" spans="1:12">
      <c r="A56" t="s">
        <v>85</v>
      </c>
      <c r="B56" s="2">
        <v>46195</v>
      </c>
      <c r="C56" t="s">
        <v>26</v>
      </c>
      <c r="D56" t="s">
        <v>19</v>
      </c>
      <c r="E56" t="s">
        <v>20</v>
      </c>
      <c r="F56" t="s">
        <v>31</v>
      </c>
      <c r="G56">
        <v>7</v>
      </c>
      <c r="H56">
        <v>835</v>
      </c>
      <c r="I56">
        <v>0.05</v>
      </c>
      <c r="J56">
        <v>5552.75</v>
      </c>
      <c r="K56">
        <v>4027.95</v>
      </c>
      <c r="L56">
        <v>1524.8</v>
      </c>
    </row>
    <row r="57" spans="1:12">
      <c r="A57" t="s">
        <v>86</v>
      </c>
      <c r="B57" s="2">
        <v>46196</v>
      </c>
      <c r="C57" t="s">
        <v>23</v>
      </c>
      <c r="D57" t="s">
        <v>19</v>
      </c>
      <c r="E57" t="s">
        <v>15</v>
      </c>
      <c r="F57" t="s">
        <v>21</v>
      </c>
      <c r="G57">
        <v>8</v>
      </c>
      <c r="H57">
        <v>1021</v>
      </c>
      <c r="I57">
        <v>0</v>
      </c>
      <c r="J57">
        <v>8168</v>
      </c>
      <c r="K57">
        <v>4856.26</v>
      </c>
      <c r="L57">
        <v>3311.74</v>
      </c>
    </row>
    <row r="58" spans="1:12">
      <c r="A58" t="s">
        <v>87</v>
      </c>
      <c r="B58" s="2">
        <v>46197</v>
      </c>
      <c r="C58" t="s">
        <v>18</v>
      </c>
      <c r="D58" t="s">
        <v>19</v>
      </c>
      <c r="E58" t="s">
        <v>20</v>
      </c>
      <c r="F58" t="s">
        <v>31</v>
      </c>
      <c r="G58">
        <v>7</v>
      </c>
      <c r="H58">
        <v>4235</v>
      </c>
      <c r="I58">
        <v>0</v>
      </c>
      <c r="J58">
        <v>29645</v>
      </c>
      <c r="K58">
        <v>20793.91</v>
      </c>
      <c r="L58">
        <v>8851.09</v>
      </c>
    </row>
    <row r="59" spans="1:12">
      <c r="A59" t="s">
        <v>88</v>
      </c>
      <c r="B59" s="2">
        <v>46201</v>
      </c>
      <c r="C59" t="s">
        <v>13</v>
      </c>
      <c r="D59" t="s">
        <v>14</v>
      </c>
      <c r="E59" t="s">
        <v>20</v>
      </c>
      <c r="F59" t="s">
        <v>16</v>
      </c>
      <c r="G59">
        <v>4</v>
      </c>
      <c r="H59">
        <v>51576</v>
      </c>
      <c r="I59">
        <v>0.1</v>
      </c>
      <c r="J59">
        <v>185673.60000000001</v>
      </c>
      <c r="K59">
        <v>126214.64</v>
      </c>
      <c r="L59">
        <v>59458.96</v>
      </c>
    </row>
    <row r="60" spans="1:12">
      <c r="A60" t="s">
        <v>89</v>
      </c>
      <c r="B60" s="2">
        <v>46204</v>
      </c>
      <c r="C60" t="s">
        <v>26</v>
      </c>
      <c r="D60" t="s">
        <v>19</v>
      </c>
      <c r="E60" t="s">
        <v>20</v>
      </c>
      <c r="F60" t="s">
        <v>21</v>
      </c>
      <c r="G60">
        <v>5</v>
      </c>
      <c r="H60">
        <v>964</v>
      </c>
      <c r="I60">
        <v>0.1</v>
      </c>
      <c r="J60">
        <v>4338</v>
      </c>
      <c r="K60">
        <v>2983.76</v>
      </c>
      <c r="L60">
        <v>1354.24</v>
      </c>
    </row>
    <row r="61" spans="1:12">
      <c r="A61" t="s">
        <v>90</v>
      </c>
      <c r="B61" s="2">
        <v>46208</v>
      </c>
      <c r="C61" t="s">
        <v>48</v>
      </c>
      <c r="D61" t="s">
        <v>14</v>
      </c>
      <c r="E61" t="s">
        <v>20</v>
      </c>
      <c r="F61" t="s">
        <v>21</v>
      </c>
      <c r="G61">
        <v>2</v>
      </c>
      <c r="H61">
        <v>17044</v>
      </c>
      <c r="I61">
        <v>0.1</v>
      </c>
      <c r="J61">
        <v>30679.200000000001</v>
      </c>
      <c r="K61">
        <v>26556.5</v>
      </c>
      <c r="L61">
        <v>4122.7</v>
      </c>
    </row>
    <row r="62" spans="1:12">
      <c r="A62" t="s">
        <v>91</v>
      </c>
      <c r="B62" s="2">
        <v>46215</v>
      </c>
      <c r="C62" t="s">
        <v>26</v>
      </c>
      <c r="D62" t="s">
        <v>19</v>
      </c>
      <c r="E62" t="s">
        <v>33</v>
      </c>
      <c r="F62" t="s">
        <v>24</v>
      </c>
      <c r="G62">
        <v>1</v>
      </c>
      <c r="H62">
        <v>1451</v>
      </c>
      <c r="I62">
        <v>0.1</v>
      </c>
      <c r="J62">
        <v>1305.9000000000001</v>
      </c>
      <c r="K62">
        <v>1042.0999999999999</v>
      </c>
      <c r="L62">
        <v>263.8</v>
      </c>
    </row>
    <row r="63" spans="1:12">
      <c r="A63" t="s">
        <v>92</v>
      </c>
      <c r="B63" s="2">
        <v>46222</v>
      </c>
      <c r="C63" t="s">
        <v>18</v>
      </c>
      <c r="D63" t="s">
        <v>19</v>
      </c>
      <c r="E63" t="s">
        <v>27</v>
      </c>
      <c r="F63" t="s">
        <v>21</v>
      </c>
      <c r="G63">
        <v>4</v>
      </c>
      <c r="H63">
        <v>3435</v>
      </c>
      <c r="I63">
        <v>0.15</v>
      </c>
      <c r="J63">
        <v>11679</v>
      </c>
      <c r="K63">
        <v>9570.65</v>
      </c>
      <c r="L63">
        <v>2108.35</v>
      </c>
    </row>
    <row r="64" spans="1:12">
      <c r="A64" t="s">
        <v>93</v>
      </c>
      <c r="B64" s="2">
        <v>46227</v>
      </c>
      <c r="C64" t="s">
        <v>48</v>
      </c>
      <c r="D64" t="s">
        <v>14</v>
      </c>
      <c r="E64" t="s">
        <v>33</v>
      </c>
      <c r="F64" t="s">
        <v>31</v>
      </c>
      <c r="G64">
        <v>2</v>
      </c>
      <c r="H64">
        <v>12573</v>
      </c>
      <c r="I64">
        <v>0.1</v>
      </c>
      <c r="J64">
        <v>22631.4</v>
      </c>
      <c r="K64">
        <v>18456.05</v>
      </c>
      <c r="L64">
        <v>4175.3500000000004</v>
      </c>
    </row>
    <row r="65" spans="1:12">
      <c r="A65" t="s">
        <v>94</v>
      </c>
      <c r="B65" s="2">
        <v>46228</v>
      </c>
      <c r="C65" t="s">
        <v>13</v>
      </c>
      <c r="D65" t="s">
        <v>14</v>
      </c>
      <c r="E65" t="s">
        <v>20</v>
      </c>
      <c r="F65" t="s">
        <v>59</v>
      </c>
      <c r="G65">
        <v>3</v>
      </c>
      <c r="H65">
        <v>48317</v>
      </c>
      <c r="I65">
        <v>0.15</v>
      </c>
      <c r="J65">
        <v>123208.35</v>
      </c>
      <c r="K65">
        <v>100817.19</v>
      </c>
      <c r="L65">
        <v>22391.16</v>
      </c>
    </row>
    <row r="66" spans="1:12">
      <c r="A66" t="s">
        <v>95</v>
      </c>
      <c r="B66" s="2">
        <v>46231</v>
      </c>
      <c r="C66" t="s">
        <v>23</v>
      </c>
      <c r="D66" t="s">
        <v>19</v>
      </c>
      <c r="E66" t="s">
        <v>27</v>
      </c>
      <c r="F66" t="s">
        <v>38</v>
      </c>
      <c r="G66">
        <v>4</v>
      </c>
      <c r="H66">
        <v>1221</v>
      </c>
      <c r="I66">
        <v>0.1</v>
      </c>
      <c r="J66">
        <v>4395.6000000000004</v>
      </c>
      <c r="K66">
        <v>3747.14</v>
      </c>
      <c r="L66">
        <v>648.46</v>
      </c>
    </row>
    <row r="67" spans="1:12">
      <c r="A67" t="s">
        <v>96</v>
      </c>
      <c r="B67" s="2">
        <v>46236</v>
      </c>
      <c r="C67" t="s">
        <v>26</v>
      </c>
      <c r="D67" t="s">
        <v>19</v>
      </c>
      <c r="E67" t="s">
        <v>27</v>
      </c>
      <c r="F67" t="s">
        <v>16</v>
      </c>
      <c r="G67">
        <v>5</v>
      </c>
      <c r="H67">
        <v>587</v>
      </c>
      <c r="I67">
        <v>0.05</v>
      </c>
      <c r="J67">
        <v>2788.25</v>
      </c>
      <c r="K67">
        <v>1785.74</v>
      </c>
      <c r="L67">
        <v>1002.51</v>
      </c>
    </row>
    <row r="68" spans="1:12">
      <c r="A68" t="s">
        <v>97</v>
      </c>
      <c r="B68" s="2">
        <v>46237</v>
      </c>
      <c r="C68" t="s">
        <v>48</v>
      </c>
      <c r="D68" t="s">
        <v>14</v>
      </c>
      <c r="E68" t="s">
        <v>20</v>
      </c>
      <c r="F68" t="s">
        <v>16</v>
      </c>
      <c r="G68">
        <v>4</v>
      </c>
      <c r="H68">
        <v>17485</v>
      </c>
      <c r="I68">
        <v>0</v>
      </c>
      <c r="J68">
        <v>69940</v>
      </c>
      <c r="K68">
        <v>50961.89</v>
      </c>
      <c r="L68">
        <v>18978.11</v>
      </c>
    </row>
    <row r="69" spans="1:12">
      <c r="A69" t="s">
        <v>98</v>
      </c>
      <c r="B69" s="2">
        <v>46237</v>
      </c>
      <c r="C69" t="s">
        <v>13</v>
      </c>
      <c r="D69" t="s">
        <v>14</v>
      </c>
      <c r="E69" t="s">
        <v>15</v>
      </c>
      <c r="F69" t="s">
        <v>21</v>
      </c>
      <c r="G69">
        <v>1</v>
      </c>
      <c r="H69">
        <v>46526</v>
      </c>
      <c r="I69">
        <v>0.1</v>
      </c>
      <c r="J69">
        <v>41873.4</v>
      </c>
      <c r="K69">
        <v>35398.559999999998</v>
      </c>
      <c r="L69">
        <v>6474.84</v>
      </c>
    </row>
    <row r="70" spans="1:12">
      <c r="A70" t="s">
        <v>99</v>
      </c>
      <c r="B70" s="2">
        <v>46239</v>
      </c>
      <c r="C70" t="s">
        <v>18</v>
      </c>
      <c r="D70" t="s">
        <v>19</v>
      </c>
      <c r="E70" t="s">
        <v>15</v>
      </c>
      <c r="F70" t="s">
        <v>24</v>
      </c>
      <c r="G70">
        <v>1</v>
      </c>
      <c r="H70">
        <v>2098</v>
      </c>
      <c r="I70">
        <v>0.05</v>
      </c>
      <c r="J70">
        <v>1993.1</v>
      </c>
      <c r="K70">
        <v>1532.77</v>
      </c>
      <c r="L70">
        <v>460.33</v>
      </c>
    </row>
    <row r="71" spans="1:12">
      <c r="A71" t="s">
        <v>100</v>
      </c>
      <c r="B71" s="2">
        <v>46239</v>
      </c>
      <c r="C71" t="s">
        <v>26</v>
      </c>
      <c r="D71" t="s">
        <v>19</v>
      </c>
      <c r="E71" t="s">
        <v>27</v>
      </c>
      <c r="F71" t="s">
        <v>38</v>
      </c>
      <c r="G71">
        <v>8</v>
      </c>
      <c r="H71">
        <v>1469</v>
      </c>
      <c r="I71">
        <v>0.05</v>
      </c>
      <c r="J71">
        <v>11164.4</v>
      </c>
      <c r="K71">
        <v>7563.75</v>
      </c>
      <c r="L71">
        <v>3600.65</v>
      </c>
    </row>
    <row r="72" spans="1:12">
      <c r="A72" t="s">
        <v>101</v>
      </c>
      <c r="B72" s="2">
        <v>46241</v>
      </c>
      <c r="C72" t="s">
        <v>13</v>
      </c>
      <c r="D72" t="s">
        <v>14</v>
      </c>
      <c r="E72" t="s">
        <v>33</v>
      </c>
      <c r="F72" t="s">
        <v>59</v>
      </c>
      <c r="G72">
        <v>5</v>
      </c>
      <c r="H72">
        <v>40294</v>
      </c>
      <c r="I72">
        <v>0.15</v>
      </c>
      <c r="J72">
        <v>171249.5</v>
      </c>
      <c r="K72">
        <v>143527.89000000001</v>
      </c>
      <c r="L72">
        <v>27721.61</v>
      </c>
    </row>
    <row r="73" spans="1:12">
      <c r="A73" t="s">
        <v>102</v>
      </c>
      <c r="B73" s="2">
        <v>46242</v>
      </c>
      <c r="C73" t="s">
        <v>18</v>
      </c>
      <c r="D73" t="s">
        <v>19</v>
      </c>
      <c r="E73" t="s">
        <v>27</v>
      </c>
      <c r="F73" t="s">
        <v>16</v>
      </c>
      <c r="G73">
        <v>7</v>
      </c>
      <c r="H73">
        <v>4890</v>
      </c>
      <c r="I73">
        <v>0.15</v>
      </c>
      <c r="J73">
        <v>29095.5</v>
      </c>
      <c r="K73">
        <v>22296.22</v>
      </c>
      <c r="L73">
        <v>6799.28</v>
      </c>
    </row>
    <row r="74" spans="1:12">
      <c r="A74" t="s">
        <v>103</v>
      </c>
      <c r="B74" s="2">
        <v>46243</v>
      </c>
      <c r="C74" t="s">
        <v>18</v>
      </c>
      <c r="D74" t="s">
        <v>19</v>
      </c>
      <c r="E74" t="s">
        <v>15</v>
      </c>
      <c r="F74" t="s">
        <v>59</v>
      </c>
      <c r="G74">
        <v>8</v>
      </c>
      <c r="H74">
        <v>4534</v>
      </c>
      <c r="I74">
        <v>0.05</v>
      </c>
      <c r="J74">
        <v>34458.400000000001</v>
      </c>
      <c r="K74">
        <v>21858.89</v>
      </c>
      <c r="L74">
        <v>12599.51</v>
      </c>
    </row>
    <row r="75" spans="1:12">
      <c r="A75" t="s">
        <v>104</v>
      </c>
      <c r="B75" s="2">
        <v>46249</v>
      </c>
      <c r="C75" t="s">
        <v>13</v>
      </c>
      <c r="D75" t="s">
        <v>14</v>
      </c>
      <c r="E75" t="s">
        <v>15</v>
      </c>
      <c r="F75" t="s">
        <v>59</v>
      </c>
      <c r="G75">
        <v>8</v>
      </c>
      <c r="H75">
        <v>56875</v>
      </c>
      <c r="I75">
        <v>0.1</v>
      </c>
      <c r="J75">
        <v>409500</v>
      </c>
      <c r="K75">
        <v>367644.33</v>
      </c>
      <c r="L75">
        <v>41855.67</v>
      </c>
    </row>
    <row r="76" spans="1:12">
      <c r="A76" t="s">
        <v>105</v>
      </c>
      <c r="B76" s="2">
        <v>46255</v>
      </c>
      <c r="C76" t="s">
        <v>13</v>
      </c>
      <c r="D76" t="s">
        <v>14</v>
      </c>
      <c r="E76" t="s">
        <v>33</v>
      </c>
      <c r="F76" t="s">
        <v>38</v>
      </c>
      <c r="G76">
        <v>6</v>
      </c>
      <c r="H76">
        <v>38655</v>
      </c>
      <c r="I76">
        <v>0.1</v>
      </c>
      <c r="J76">
        <v>208737</v>
      </c>
      <c r="K76">
        <v>158719.82999999999</v>
      </c>
      <c r="L76">
        <v>50017.17</v>
      </c>
    </row>
    <row r="77" spans="1:12">
      <c r="A77" t="s">
        <v>106</v>
      </c>
      <c r="B77" s="2">
        <v>46255</v>
      </c>
      <c r="C77" t="s">
        <v>13</v>
      </c>
      <c r="D77" t="s">
        <v>14</v>
      </c>
      <c r="E77" t="s">
        <v>27</v>
      </c>
      <c r="F77" t="s">
        <v>21</v>
      </c>
      <c r="G77">
        <v>1</v>
      </c>
      <c r="H77">
        <v>47793</v>
      </c>
      <c r="I77">
        <v>0.1</v>
      </c>
      <c r="J77">
        <v>43013.7</v>
      </c>
      <c r="K77">
        <v>38347.4</v>
      </c>
      <c r="L77">
        <v>4666.3</v>
      </c>
    </row>
    <row r="78" spans="1:12">
      <c r="A78" t="s">
        <v>107</v>
      </c>
      <c r="B78" s="2">
        <v>46255</v>
      </c>
      <c r="C78" t="s">
        <v>18</v>
      </c>
      <c r="D78" t="s">
        <v>19</v>
      </c>
      <c r="E78" t="s">
        <v>33</v>
      </c>
      <c r="F78" t="s">
        <v>21</v>
      </c>
      <c r="G78">
        <v>6</v>
      </c>
      <c r="H78">
        <v>4685</v>
      </c>
      <c r="I78">
        <v>0.1</v>
      </c>
      <c r="J78">
        <v>25299</v>
      </c>
      <c r="K78">
        <v>18677.25</v>
      </c>
      <c r="L78">
        <v>6621.75</v>
      </c>
    </row>
    <row r="79" spans="1:12">
      <c r="A79" t="s">
        <v>108</v>
      </c>
      <c r="B79" s="2">
        <v>46258</v>
      </c>
      <c r="C79" t="s">
        <v>13</v>
      </c>
      <c r="D79" t="s">
        <v>14</v>
      </c>
      <c r="E79" t="s">
        <v>15</v>
      </c>
      <c r="F79" t="s">
        <v>21</v>
      </c>
      <c r="G79">
        <v>2</v>
      </c>
      <c r="H79">
        <v>49205</v>
      </c>
      <c r="I79">
        <v>0.1</v>
      </c>
      <c r="J79">
        <v>88569</v>
      </c>
      <c r="K79">
        <v>72089.3</v>
      </c>
      <c r="L79">
        <v>16479.7</v>
      </c>
    </row>
    <row r="80" spans="1:12">
      <c r="A80" t="s">
        <v>109</v>
      </c>
      <c r="B80" s="2">
        <v>46259</v>
      </c>
      <c r="C80" t="s">
        <v>13</v>
      </c>
      <c r="D80" t="s">
        <v>14</v>
      </c>
      <c r="E80" t="s">
        <v>15</v>
      </c>
      <c r="F80" t="s">
        <v>16</v>
      </c>
      <c r="G80">
        <v>1</v>
      </c>
      <c r="H80">
        <v>37750</v>
      </c>
      <c r="I80">
        <v>0.15</v>
      </c>
      <c r="J80">
        <v>32087.5</v>
      </c>
      <c r="K80">
        <v>23124.44</v>
      </c>
      <c r="L80">
        <v>8963.06</v>
      </c>
    </row>
    <row r="81" spans="1:12">
      <c r="A81" t="s">
        <v>110</v>
      </c>
      <c r="B81" s="2">
        <v>46263</v>
      </c>
      <c r="C81" t="s">
        <v>48</v>
      </c>
      <c r="D81" t="s">
        <v>14</v>
      </c>
      <c r="E81" t="s">
        <v>27</v>
      </c>
      <c r="F81" t="s">
        <v>31</v>
      </c>
      <c r="G81">
        <v>3</v>
      </c>
      <c r="H81">
        <v>9771</v>
      </c>
      <c r="I81">
        <v>0.15</v>
      </c>
      <c r="J81">
        <v>24916.05</v>
      </c>
      <c r="K81">
        <v>23137.34</v>
      </c>
      <c r="L81">
        <v>1778.71</v>
      </c>
    </row>
    <row r="82" spans="1:12">
      <c r="A82" t="s">
        <v>111</v>
      </c>
      <c r="B82" s="2">
        <v>46263</v>
      </c>
      <c r="C82" t="s">
        <v>26</v>
      </c>
      <c r="D82" t="s">
        <v>19</v>
      </c>
      <c r="E82" t="s">
        <v>27</v>
      </c>
      <c r="F82" t="s">
        <v>59</v>
      </c>
      <c r="G82">
        <v>2</v>
      </c>
      <c r="H82">
        <v>660</v>
      </c>
      <c r="I82">
        <v>0</v>
      </c>
      <c r="J82">
        <v>1320</v>
      </c>
      <c r="K82">
        <v>895.02</v>
      </c>
      <c r="L82">
        <v>424.98</v>
      </c>
    </row>
    <row r="83" spans="1:12">
      <c r="A83" t="s">
        <v>112</v>
      </c>
      <c r="B83" s="2">
        <v>46273</v>
      </c>
      <c r="C83" t="s">
        <v>18</v>
      </c>
      <c r="D83" t="s">
        <v>19</v>
      </c>
      <c r="E83" t="s">
        <v>27</v>
      </c>
      <c r="F83" t="s">
        <v>59</v>
      </c>
      <c r="G83">
        <v>6</v>
      </c>
      <c r="H83">
        <v>2523</v>
      </c>
      <c r="I83">
        <v>0</v>
      </c>
      <c r="J83">
        <v>15138</v>
      </c>
      <c r="K83">
        <v>10956.08</v>
      </c>
      <c r="L83">
        <v>4181.92</v>
      </c>
    </row>
    <row r="84" spans="1:12">
      <c r="A84" t="s">
        <v>113</v>
      </c>
      <c r="B84" s="2">
        <v>46274</v>
      </c>
      <c r="C84" t="s">
        <v>13</v>
      </c>
      <c r="D84" t="s">
        <v>14</v>
      </c>
      <c r="E84" t="s">
        <v>27</v>
      </c>
      <c r="F84" t="s">
        <v>38</v>
      </c>
      <c r="G84">
        <v>7</v>
      </c>
      <c r="H84">
        <v>51009</v>
      </c>
      <c r="I84">
        <v>0.05</v>
      </c>
      <c r="J84">
        <v>339209.85</v>
      </c>
      <c r="K84">
        <v>266278.39</v>
      </c>
      <c r="L84">
        <v>72931.460000000006</v>
      </c>
    </row>
    <row r="85" spans="1:12">
      <c r="A85" t="s">
        <v>114</v>
      </c>
      <c r="B85" s="2">
        <v>46280</v>
      </c>
      <c r="C85" t="s">
        <v>18</v>
      </c>
      <c r="D85" t="s">
        <v>19</v>
      </c>
      <c r="E85" t="s">
        <v>20</v>
      </c>
      <c r="F85" t="s">
        <v>38</v>
      </c>
      <c r="G85">
        <v>6</v>
      </c>
      <c r="H85">
        <v>1668</v>
      </c>
      <c r="I85">
        <v>0</v>
      </c>
      <c r="J85">
        <v>10008</v>
      </c>
      <c r="K85">
        <v>7207.79</v>
      </c>
      <c r="L85">
        <v>2800.21</v>
      </c>
    </row>
    <row r="86" spans="1:12">
      <c r="A86" t="s">
        <v>115</v>
      </c>
      <c r="B86" s="2">
        <v>46284</v>
      </c>
      <c r="C86" t="s">
        <v>13</v>
      </c>
      <c r="D86" t="s">
        <v>14</v>
      </c>
      <c r="E86" t="s">
        <v>20</v>
      </c>
      <c r="F86" t="s">
        <v>16</v>
      </c>
      <c r="G86">
        <v>7</v>
      </c>
      <c r="H86">
        <v>46327</v>
      </c>
      <c r="I86">
        <v>0.1</v>
      </c>
      <c r="J86">
        <v>291860.09999999998</v>
      </c>
      <c r="K86">
        <v>222051.88</v>
      </c>
      <c r="L86">
        <v>69808.22</v>
      </c>
    </row>
    <row r="87" spans="1:12">
      <c r="A87" t="s">
        <v>116</v>
      </c>
      <c r="B87" s="2">
        <v>46287</v>
      </c>
      <c r="C87" t="s">
        <v>26</v>
      </c>
      <c r="D87" t="s">
        <v>19</v>
      </c>
      <c r="E87" t="s">
        <v>27</v>
      </c>
      <c r="F87" t="s">
        <v>38</v>
      </c>
      <c r="G87">
        <v>5</v>
      </c>
      <c r="H87">
        <v>908</v>
      </c>
      <c r="I87">
        <v>0.1</v>
      </c>
      <c r="J87">
        <v>4086</v>
      </c>
      <c r="K87">
        <v>3110.55</v>
      </c>
      <c r="L87">
        <v>975.45</v>
      </c>
    </row>
    <row r="88" spans="1:12">
      <c r="A88" t="s">
        <v>117</v>
      </c>
      <c r="B88" s="2">
        <v>46295</v>
      </c>
      <c r="C88" t="s">
        <v>13</v>
      </c>
      <c r="D88" t="s">
        <v>14</v>
      </c>
      <c r="E88" t="s">
        <v>20</v>
      </c>
      <c r="F88" t="s">
        <v>38</v>
      </c>
      <c r="G88">
        <v>8</v>
      </c>
      <c r="H88">
        <v>61739</v>
      </c>
      <c r="I88">
        <v>0</v>
      </c>
      <c r="J88">
        <v>493912</v>
      </c>
      <c r="K88">
        <v>402398.15</v>
      </c>
      <c r="L88">
        <v>91513.85</v>
      </c>
    </row>
    <row r="89" spans="1:12">
      <c r="A89" t="s">
        <v>118</v>
      </c>
      <c r="B89" s="2">
        <v>46296</v>
      </c>
      <c r="C89" t="s">
        <v>23</v>
      </c>
      <c r="D89" t="s">
        <v>19</v>
      </c>
      <c r="E89" t="s">
        <v>15</v>
      </c>
      <c r="F89" t="s">
        <v>38</v>
      </c>
      <c r="G89">
        <v>3</v>
      </c>
      <c r="H89">
        <v>2714</v>
      </c>
      <c r="I89">
        <v>0.05</v>
      </c>
      <c r="J89">
        <v>7734.9</v>
      </c>
      <c r="K89">
        <v>6638.77</v>
      </c>
      <c r="L89">
        <v>1096.1300000000001</v>
      </c>
    </row>
    <row r="90" spans="1:12">
      <c r="A90" t="s">
        <v>119</v>
      </c>
      <c r="B90" s="2">
        <v>46297</v>
      </c>
      <c r="C90" t="s">
        <v>23</v>
      </c>
      <c r="D90" t="s">
        <v>19</v>
      </c>
      <c r="E90" t="s">
        <v>33</v>
      </c>
      <c r="F90" t="s">
        <v>31</v>
      </c>
      <c r="G90">
        <v>4</v>
      </c>
      <c r="H90">
        <v>1294</v>
      </c>
      <c r="I90">
        <v>0.05</v>
      </c>
      <c r="J90">
        <v>4917.2</v>
      </c>
      <c r="K90">
        <v>3394.07</v>
      </c>
      <c r="L90">
        <v>1523.13</v>
      </c>
    </row>
    <row r="91" spans="1:12">
      <c r="A91" t="s">
        <v>120</v>
      </c>
      <c r="B91" s="2">
        <v>46299</v>
      </c>
      <c r="C91" t="s">
        <v>23</v>
      </c>
      <c r="D91" t="s">
        <v>19</v>
      </c>
      <c r="E91" t="s">
        <v>15</v>
      </c>
      <c r="F91" t="s">
        <v>59</v>
      </c>
      <c r="G91">
        <v>2</v>
      </c>
      <c r="H91">
        <v>2615</v>
      </c>
      <c r="I91">
        <v>0</v>
      </c>
      <c r="J91">
        <v>5230</v>
      </c>
      <c r="K91">
        <v>3096.9</v>
      </c>
      <c r="L91">
        <v>2133.1</v>
      </c>
    </row>
    <row r="92" spans="1:12">
      <c r="A92" t="s">
        <v>121</v>
      </c>
      <c r="B92" s="2">
        <v>46299</v>
      </c>
      <c r="C92" t="s">
        <v>48</v>
      </c>
      <c r="D92" t="s">
        <v>14</v>
      </c>
      <c r="E92" t="s">
        <v>33</v>
      </c>
      <c r="F92" t="s">
        <v>21</v>
      </c>
      <c r="G92">
        <v>5</v>
      </c>
      <c r="H92">
        <v>9341</v>
      </c>
      <c r="I92">
        <v>0.15</v>
      </c>
      <c r="J92">
        <v>39699.25</v>
      </c>
      <c r="K92">
        <v>27306.17</v>
      </c>
      <c r="L92">
        <v>12393.08</v>
      </c>
    </row>
    <row r="93" spans="1:12">
      <c r="A93" t="s">
        <v>122</v>
      </c>
      <c r="B93" s="2">
        <v>46300</v>
      </c>
      <c r="C93" t="s">
        <v>48</v>
      </c>
      <c r="D93" t="s">
        <v>14</v>
      </c>
      <c r="E93" t="s">
        <v>27</v>
      </c>
      <c r="F93" t="s">
        <v>38</v>
      </c>
      <c r="G93">
        <v>4</v>
      </c>
      <c r="H93">
        <v>9052</v>
      </c>
      <c r="I93">
        <v>0.15</v>
      </c>
      <c r="J93">
        <v>30776.799999999999</v>
      </c>
      <c r="K93">
        <v>24542.65</v>
      </c>
      <c r="L93">
        <v>6234.15</v>
      </c>
    </row>
    <row r="94" spans="1:12">
      <c r="A94" t="s">
        <v>123</v>
      </c>
      <c r="B94" s="2">
        <v>46306</v>
      </c>
      <c r="C94" t="s">
        <v>48</v>
      </c>
      <c r="D94" t="s">
        <v>14</v>
      </c>
      <c r="E94" t="s">
        <v>20</v>
      </c>
      <c r="F94" t="s">
        <v>59</v>
      </c>
      <c r="G94">
        <v>4</v>
      </c>
      <c r="H94">
        <v>9049</v>
      </c>
      <c r="I94">
        <v>0.1</v>
      </c>
      <c r="J94">
        <v>32576.400000000001</v>
      </c>
      <c r="K94">
        <v>21176.41</v>
      </c>
      <c r="L94">
        <v>11399.99</v>
      </c>
    </row>
    <row r="95" spans="1:12">
      <c r="A95" t="s">
        <v>124</v>
      </c>
      <c r="B95" s="2">
        <v>46306</v>
      </c>
      <c r="C95" t="s">
        <v>23</v>
      </c>
      <c r="D95" t="s">
        <v>19</v>
      </c>
      <c r="E95" t="s">
        <v>33</v>
      </c>
      <c r="F95" t="s">
        <v>38</v>
      </c>
      <c r="G95">
        <v>7</v>
      </c>
      <c r="H95">
        <v>2136</v>
      </c>
      <c r="I95">
        <v>0.15</v>
      </c>
      <c r="J95">
        <v>12709.2</v>
      </c>
      <c r="K95">
        <v>11174.08</v>
      </c>
      <c r="L95">
        <v>1535.12</v>
      </c>
    </row>
    <row r="96" spans="1:12">
      <c r="A96" t="s">
        <v>125</v>
      </c>
      <c r="B96" s="2">
        <v>46311</v>
      </c>
      <c r="C96" t="s">
        <v>23</v>
      </c>
      <c r="D96" t="s">
        <v>19</v>
      </c>
      <c r="E96" t="s">
        <v>15</v>
      </c>
      <c r="F96" t="s">
        <v>31</v>
      </c>
      <c r="G96">
        <v>2</v>
      </c>
      <c r="H96">
        <v>838</v>
      </c>
      <c r="I96">
        <v>0.15</v>
      </c>
      <c r="J96">
        <v>1424.6</v>
      </c>
      <c r="K96">
        <v>1221.94</v>
      </c>
      <c r="L96">
        <v>202.66</v>
      </c>
    </row>
    <row r="97" spans="1:12">
      <c r="A97" t="s">
        <v>126</v>
      </c>
      <c r="B97" s="2">
        <v>46313</v>
      </c>
      <c r="C97" t="s">
        <v>26</v>
      </c>
      <c r="D97" t="s">
        <v>19</v>
      </c>
      <c r="E97" t="s">
        <v>20</v>
      </c>
      <c r="F97" t="s">
        <v>31</v>
      </c>
      <c r="G97">
        <v>7</v>
      </c>
      <c r="H97">
        <v>774</v>
      </c>
      <c r="I97">
        <v>0</v>
      </c>
      <c r="J97">
        <v>5418</v>
      </c>
      <c r="K97">
        <v>3416.79</v>
      </c>
      <c r="L97">
        <v>2001.21</v>
      </c>
    </row>
    <row r="98" spans="1:12">
      <c r="A98" t="s">
        <v>127</v>
      </c>
      <c r="B98" s="2">
        <v>46313</v>
      </c>
      <c r="C98" t="s">
        <v>13</v>
      </c>
      <c r="D98" t="s">
        <v>14</v>
      </c>
      <c r="E98" t="s">
        <v>20</v>
      </c>
      <c r="F98" t="s">
        <v>31</v>
      </c>
      <c r="G98">
        <v>5</v>
      </c>
      <c r="H98">
        <v>42846</v>
      </c>
      <c r="I98">
        <v>0</v>
      </c>
      <c r="J98">
        <v>214230</v>
      </c>
      <c r="K98">
        <v>136637.85999999999</v>
      </c>
      <c r="L98">
        <v>77592.14</v>
      </c>
    </row>
    <row r="99" spans="1:12">
      <c r="A99" t="s">
        <v>128</v>
      </c>
      <c r="B99" s="2">
        <v>46314</v>
      </c>
      <c r="C99" t="s">
        <v>23</v>
      </c>
      <c r="D99" t="s">
        <v>19</v>
      </c>
      <c r="E99" t="s">
        <v>27</v>
      </c>
      <c r="F99" t="s">
        <v>24</v>
      </c>
      <c r="G99">
        <v>5</v>
      </c>
      <c r="H99">
        <v>2646</v>
      </c>
      <c r="I99">
        <v>0.05</v>
      </c>
      <c r="J99">
        <v>12568.5</v>
      </c>
      <c r="K99">
        <v>10056.31</v>
      </c>
      <c r="L99">
        <v>2512.19</v>
      </c>
    </row>
    <row r="100" spans="1:12">
      <c r="A100" t="s">
        <v>129</v>
      </c>
      <c r="B100" s="2">
        <v>46321</v>
      </c>
      <c r="C100" t="s">
        <v>18</v>
      </c>
      <c r="D100" t="s">
        <v>19</v>
      </c>
      <c r="E100" t="s">
        <v>20</v>
      </c>
      <c r="F100" t="s">
        <v>24</v>
      </c>
      <c r="G100">
        <v>2</v>
      </c>
      <c r="H100">
        <v>2421</v>
      </c>
      <c r="I100">
        <v>0</v>
      </c>
      <c r="J100">
        <v>4842</v>
      </c>
      <c r="K100">
        <v>3778.23</v>
      </c>
      <c r="L100">
        <v>1063.77</v>
      </c>
    </row>
    <row r="101" spans="1:12">
      <c r="A101" t="s">
        <v>130</v>
      </c>
      <c r="B101" s="2">
        <v>46322</v>
      </c>
      <c r="C101" t="s">
        <v>48</v>
      </c>
      <c r="D101" t="s">
        <v>14</v>
      </c>
      <c r="E101" t="s">
        <v>15</v>
      </c>
      <c r="F101" t="s">
        <v>24</v>
      </c>
      <c r="G101">
        <v>4</v>
      </c>
      <c r="H101">
        <v>14883</v>
      </c>
      <c r="I101">
        <v>0.15</v>
      </c>
      <c r="J101">
        <v>50602.2</v>
      </c>
      <c r="K101">
        <v>47456.6</v>
      </c>
      <c r="L101">
        <v>3145.6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/>
  <sheetData>
    <row r="1" spans="1:2">
      <c r="A1" s="1" t="s">
        <v>131</v>
      </c>
      <c r="B1" s="1" t="s">
        <v>132</v>
      </c>
    </row>
    <row r="2" spans="1:2">
      <c r="A2" t="s">
        <v>0</v>
      </c>
      <c r="B2" t="s">
        <v>133</v>
      </c>
    </row>
    <row r="3" spans="1:2">
      <c r="A3" t="s">
        <v>1</v>
      </c>
      <c r="B3" t="s">
        <v>134</v>
      </c>
    </row>
    <row r="4" spans="1:2">
      <c r="A4" t="s">
        <v>2</v>
      </c>
      <c r="B4" t="s">
        <v>135</v>
      </c>
    </row>
    <row r="5" spans="1:2">
      <c r="A5" t="s">
        <v>3</v>
      </c>
      <c r="B5" t="s">
        <v>136</v>
      </c>
    </row>
    <row r="6" spans="1:2">
      <c r="A6" t="s">
        <v>4</v>
      </c>
      <c r="B6" t="s">
        <v>137</v>
      </c>
    </row>
    <row r="7" spans="1:2">
      <c r="A7" t="s">
        <v>5</v>
      </c>
      <c r="B7" t="s">
        <v>138</v>
      </c>
    </row>
    <row r="8" spans="1:2">
      <c r="A8" t="s">
        <v>6</v>
      </c>
      <c r="B8" t="s">
        <v>139</v>
      </c>
    </row>
    <row r="9" spans="1:2">
      <c r="A9" t="s">
        <v>7</v>
      </c>
      <c r="B9" t="s">
        <v>140</v>
      </c>
    </row>
    <row r="10" spans="1:2">
      <c r="A10" t="s">
        <v>8</v>
      </c>
      <c r="B10" t="s">
        <v>141</v>
      </c>
    </row>
    <row r="11" spans="1:2">
      <c r="A11" t="s">
        <v>9</v>
      </c>
      <c r="B11" t="s">
        <v>142</v>
      </c>
    </row>
    <row r="12" spans="1:2">
      <c r="A12" t="s">
        <v>10</v>
      </c>
      <c r="B12" t="s">
        <v>143</v>
      </c>
    </row>
    <row r="13" spans="1:2">
      <c r="A13" t="s">
        <v>11</v>
      </c>
      <c r="B13" t="s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E3" sqref="E3"/>
    </sheetView>
  </sheetViews>
  <sheetFormatPr defaultRowHeight="15"/>
  <cols>
    <col min="1" max="1" width="29.42578125" customWidth="1"/>
    <col min="2" max="2" width="60.85546875" bestFit="1" customWidth="1"/>
  </cols>
  <sheetData>
    <row r="1" spans="1:3">
      <c r="A1" s="1" t="s">
        <v>145</v>
      </c>
      <c r="B1" s="1" t="s">
        <v>146</v>
      </c>
      <c r="C1" t="s">
        <v>147</v>
      </c>
    </row>
    <row r="2" spans="1:3">
      <c r="A2" t="s">
        <v>148</v>
      </c>
      <c r="B2" t="s">
        <v>149</v>
      </c>
      <c r="C2">
        <v>4376889.75</v>
      </c>
    </row>
    <row r="3" spans="1:3">
      <c r="A3" t="s">
        <v>150</v>
      </c>
      <c r="B3" t="s">
        <v>151</v>
      </c>
      <c r="C3">
        <v>75848.824999999983</v>
      </c>
    </row>
    <row r="4" spans="1:3">
      <c r="A4" t="s">
        <v>152</v>
      </c>
      <c r="B4" t="s">
        <v>153</v>
      </c>
      <c r="C4">
        <v>1736015.65</v>
      </c>
    </row>
    <row r="5" spans="1:3">
      <c r="A5" t="s">
        <v>154</v>
      </c>
      <c r="B5" t="s">
        <v>155</v>
      </c>
      <c r="C5">
        <v>16925.605</v>
      </c>
    </row>
    <row r="6" spans="1:3">
      <c r="A6" t="s">
        <v>156</v>
      </c>
      <c r="B6" t="s">
        <v>157</v>
      </c>
      <c r="C6">
        <v>11164.4</v>
      </c>
    </row>
    <row r="7" spans="1:3">
      <c r="A7" t="s">
        <v>158</v>
      </c>
      <c r="B7" t="s">
        <v>159</v>
      </c>
      <c r="C7">
        <v>92.47</v>
      </c>
    </row>
    <row r="8" spans="1:3">
      <c r="A8" t="s">
        <v>160</v>
      </c>
      <c r="B8" t="s">
        <v>161</v>
      </c>
      <c r="C8">
        <v>216942</v>
      </c>
    </row>
    <row r="9" spans="1:3">
      <c r="A9" t="s">
        <v>162</v>
      </c>
      <c r="B9" t="s">
        <v>163</v>
      </c>
      <c r="C9">
        <v>572.16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2026-10-23T03:09:44Z</dcterms:created>
  <dcterms:modified xsi:type="dcterms:W3CDTF">2026-10-27T14:48:33Z</dcterms:modified>
  <cp:category/>
  <cp:contentStatus/>
</cp:coreProperties>
</file>